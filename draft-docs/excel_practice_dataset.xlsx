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\Desktop\ALL AI 2026\"/>
    </mc:Choice>
  </mc:AlternateContent>
  <xr:revisionPtr revIDLastSave="0" documentId="8_{F1A9AE8A-37D0-4C6D-9369-C29AE1EF6CB0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1" sheetId="1" r:id="rId1"/>
    <sheet name="VLOOKUP" sheetId="2" r:id="rId2"/>
    <sheet name="XLOOKUP" sheetId="3" r:id="rId3"/>
  </sheets>
  <definedNames>
    <definedName name="_xlnm._FilterDatabase" localSheetId="0" hidden="1">Sheet1!$A$1:$P$6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W3" i="1"/>
  <c r="W4" i="1"/>
  <c r="W5" i="1"/>
  <c r="W6" i="1"/>
  <c r="W2" i="1"/>
  <c r="E9" i="1"/>
  <c r="H8" i="1"/>
  <c r="E8" i="1"/>
  <c r="V3" i="1"/>
  <c r="V4" i="1"/>
  <c r="V5" i="1"/>
  <c r="V6" i="1"/>
  <c r="V2" i="1"/>
  <c r="U3" i="1"/>
  <c r="U4" i="1"/>
  <c r="U5" i="1"/>
  <c r="U6" i="1"/>
  <c r="U2" i="1"/>
  <c r="T3" i="1"/>
  <c r="T4" i="1"/>
  <c r="T5" i="1"/>
  <c r="T6" i="1"/>
  <c r="T2" i="1"/>
  <c r="B3" i="3"/>
  <c r="B4" i="3"/>
  <c r="B5" i="3"/>
  <c r="B6" i="3"/>
  <c r="B2" i="3"/>
  <c r="C3" i="2"/>
  <c r="C4" i="2"/>
  <c r="C5" i="2"/>
  <c r="C6" i="2"/>
  <c r="C2" i="2"/>
  <c r="B3" i="2"/>
  <c r="B4" i="2"/>
  <c r="B5" i="2"/>
  <c r="B6" i="2"/>
  <c r="B2" i="2"/>
  <c r="R2" i="1"/>
  <c r="Q2" i="1"/>
  <c r="P2" i="1"/>
  <c r="O2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<sst xmlns="http://schemas.openxmlformats.org/spreadsheetml/2006/main" count="46" uniqueCount="38">
  <si>
    <t>EmployeeID</t>
  </si>
  <si>
    <t>FirstName</t>
  </si>
  <si>
    <t>LastName</t>
  </si>
  <si>
    <t>Department</t>
  </si>
  <si>
    <t>Salary</t>
  </si>
  <si>
    <t>JoiningDate</t>
  </si>
  <si>
    <t>PerformanceRating</t>
  </si>
  <si>
    <t>Bonus</t>
  </si>
  <si>
    <t>Full name</t>
  </si>
  <si>
    <t>Tot.Sal</t>
  </si>
  <si>
    <t>Tot.Sales Sal</t>
  </si>
  <si>
    <t>SumIfs</t>
  </si>
  <si>
    <t>countif</t>
  </si>
  <si>
    <t>countifs</t>
  </si>
  <si>
    <t>DATEDIFF</t>
  </si>
  <si>
    <t>YEAR</t>
  </si>
  <si>
    <t>TEXT(D,FORMAT)</t>
  </si>
  <si>
    <r>
      <t>RANK(</t>
    </r>
    <r>
      <rPr>
        <sz val="11"/>
        <color rgb="FF006CBE"/>
        <rFont val="Consolas"/>
        <charset val="1"/>
      </rPr>
      <t>E2</t>
    </r>
    <r>
      <rPr>
        <sz val="11"/>
        <color rgb="FF242424"/>
        <rFont val="Consolas"/>
        <charset val="1"/>
      </rPr>
      <t>,</t>
    </r>
    <r>
      <rPr>
        <sz val="11"/>
        <color rgb="FFBC2F32"/>
        <rFont val="Consolas"/>
        <charset val="1"/>
      </rPr>
      <t>E2:E6</t>
    </r>
    <r>
      <rPr>
        <sz val="11"/>
        <color rgb="FF242424"/>
        <rFont val="Consolas"/>
        <charset val="1"/>
      </rPr>
      <t>,0)</t>
    </r>
  </si>
  <si>
    <r>
      <t>ROUND(</t>
    </r>
    <r>
      <rPr>
        <sz val="11"/>
        <color rgb="FF006CBE"/>
        <rFont val="Consolas"/>
        <charset val="1"/>
      </rPr>
      <t>H2</t>
    </r>
    <r>
      <rPr>
        <sz val="11"/>
        <color rgb="FF242424"/>
        <rFont val="Consolas"/>
        <charset val="1"/>
      </rPr>
      <t>,-3)</t>
    </r>
  </si>
  <si>
    <t>John</t>
  </si>
  <si>
    <t>Doe</t>
  </si>
  <si>
    <t>Sales</t>
  </si>
  <si>
    <t>2019-03-15</t>
  </si>
  <si>
    <t>Jane</t>
  </si>
  <si>
    <t>Smith</t>
  </si>
  <si>
    <t>Marketing</t>
  </si>
  <si>
    <t>2020-07-01</t>
  </si>
  <si>
    <t>Jake</t>
  </si>
  <si>
    <t>Johnson</t>
  </si>
  <si>
    <t>2018-10-22</t>
  </si>
  <si>
    <t>Julia</t>
  </si>
  <si>
    <t>Brown</t>
  </si>
  <si>
    <t>HR</t>
  </si>
  <si>
    <t>2021-01-10</t>
  </si>
  <si>
    <t>James</t>
  </si>
  <si>
    <t>Davis</t>
  </si>
  <si>
    <t>IT</t>
  </si>
  <si>
    <t>2017-05-30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</si>
</sst>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CBE"/>
      <name val="Consolas"/>
      <charset val="1"/>
    </font>
    <font>
      <sz val="11"/>
      <color rgb="FF242424"/>
      <name val="Consolas"/>
      <charset val="1"/>
    </font>
    <font>
      <sz val="11"/>
      <color rgb="FFBC2F32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3" fillId="2" borderId="2" xfId="0" applyFont="1" applyFill="1" applyBorder="1"/>
    <xf numFmtId="0" fontId="0" fillId="0" borderId="4" xfId="0" applyBorder="1"/>
    <xf numFmtId="0" fontId="0" fillId="2" borderId="2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topLeftCell="S1" workbookViewId="0">
      <selection activeCell="W13" sqref="W13"/>
    </sheetView>
  </sheetViews>
  <sheetFormatPr defaultRowHeight="14.6" x14ac:dyDescent="0.4"/>
  <cols>
    <col min="7" max="7" width="17.3828125" bestFit="1" customWidth="1"/>
    <col min="9" max="10" width="0" hidden="1" customWidth="1"/>
    <col min="11" max="11" width="12.3828125" hidden="1" customWidth="1"/>
    <col min="12" max="12" width="0" hidden="1" customWidth="1"/>
    <col min="13" max="13" width="15.84375" hidden="1" customWidth="1"/>
    <col min="14" max="14" width="0" hidden="1" customWidth="1"/>
    <col min="15" max="15" width="11.3046875" hidden="1" customWidth="1"/>
    <col min="16" max="16" width="0" hidden="1" customWidth="1"/>
    <col min="17" max="17" width="9.84375" bestFit="1" customWidth="1"/>
    <col min="20" max="20" width="9.3046875" bestFit="1" customWidth="1"/>
    <col min="22" max="22" width="16" bestFit="1" customWidth="1"/>
    <col min="23" max="23" width="19.53515625" bestFit="1" customWidth="1"/>
    <col min="24" max="24" width="15.3046875" customWidth="1"/>
  </cols>
  <sheetData>
    <row r="1" spans="1:24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K1" s="2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T1" s="8" t="s">
        <v>14</v>
      </c>
      <c r="U1" s="8" t="s">
        <v>15</v>
      </c>
      <c r="V1" s="8" t="s">
        <v>16</v>
      </c>
      <c r="W1" s="6" t="s">
        <v>17</v>
      </c>
      <c r="X1" s="6" t="s">
        <v>18</v>
      </c>
    </row>
    <row r="2" spans="1:24" x14ac:dyDescent="0.4">
      <c r="A2" s="4">
        <v>101</v>
      </c>
      <c r="B2" s="4" t="s">
        <v>19</v>
      </c>
      <c r="C2" s="4" t="s">
        <v>20</v>
      </c>
      <c r="D2" s="4" t="s">
        <v>21</v>
      </c>
      <c r="E2" s="4">
        <v>55000</v>
      </c>
      <c r="F2" s="4" t="s">
        <v>22</v>
      </c>
      <c r="G2" s="4">
        <v>3</v>
      </c>
      <c r="H2" s="4">
        <v>5003</v>
      </c>
      <c r="I2" s="4" t="str">
        <f>LEFT(B2,2)</f>
        <v>Jo</v>
      </c>
      <c r="J2" s="4" t="str">
        <f>RIGHT(C2,3)</f>
        <v>Doe</v>
      </c>
      <c r="K2" s="4" t="str">
        <f>CONCATENATE(B2," ",C2)</f>
        <v>John Doe</v>
      </c>
      <c r="L2" s="4" t="str">
        <f>IF(E2&gt;60000,"High","Normal")</f>
        <v>Normal</v>
      </c>
      <c r="M2" s="4" t="str">
        <f>_xlfn.IFS(G2=5,"Excellent",G2=4,"Good",G2=3,"Average",G2&gt;=2,"Need Imrovement")</f>
        <v>Average</v>
      </c>
      <c r="N2" s="4">
        <f>SUM(E2:E6)</f>
        <v>307000</v>
      </c>
      <c r="O2" s="4">
        <f>SUMIF(D2:D6,"=Sales",E2:E6)</f>
        <v>113000</v>
      </c>
      <c r="P2" s="4">
        <f>SUMIFS(E2:E6,G2:G6,"=3",D2:D6,"=Sales")</f>
        <v>55000</v>
      </c>
      <c r="Q2" s="4">
        <f>COUNTIF(D2:D6,"=Sales")</f>
        <v>2</v>
      </c>
      <c r="R2" s="4">
        <f>COUNTIFS(D2:D6,"=Sales",E2:E6,"&gt;55000")</f>
        <v>1</v>
      </c>
      <c r="S2" s="4"/>
      <c r="T2" s="9">
        <f ca="1">DATEDIF(F2,TODAY(),"d")</f>
        <v>2553</v>
      </c>
      <c r="U2" s="9">
        <f>YEAR(F2)</f>
        <v>2019</v>
      </c>
      <c r="V2" s="10" t="str">
        <f>TEXT(F2,"MMM-YYYY")</f>
        <v>Mar-2019</v>
      </c>
      <c r="W2" s="10">
        <f>RANK(E2,E2:E6,0)</f>
        <v>5</v>
      </c>
      <c r="X2" s="9">
        <f>ROUND(H2,-3)</f>
        <v>5000</v>
      </c>
    </row>
    <row r="3" spans="1:24" x14ac:dyDescent="0.4">
      <c r="A3" s="4">
        <v>102</v>
      </c>
      <c r="B3" s="4" t="s">
        <v>23</v>
      </c>
      <c r="C3" s="4" t="s">
        <v>24</v>
      </c>
      <c r="D3" s="4" t="s">
        <v>25</v>
      </c>
      <c r="E3" s="4">
        <v>62000</v>
      </c>
      <c r="F3" s="4" t="s">
        <v>26</v>
      </c>
      <c r="G3" s="4">
        <v>4</v>
      </c>
      <c r="H3" s="4">
        <v>7600</v>
      </c>
      <c r="I3" s="4" t="str">
        <f t="shared" ref="I3:I6" si="0">LEFT(B3,2)</f>
        <v>Ja</v>
      </c>
      <c r="J3" s="4" t="str">
        <f t="shared" ref="J3:J6" si="1">RIGHT(C3,3)</f>
        <v>ith</v>
      </c>
      <c r="K3" s="4" t="str">
        <f t="shared" ref="K3:K6" si="2">CONCATENATE(B3," ",C3)</f>
        <v>Jane Smith</v>
      </c>
      <c r="L3" s="4" t="str">
        <f t="shared" ref="L3:L6" si="3">IF(E3&gt;60000,"High","Normal")</f>
        <v>High</v>
      </c>
      <c r="M3" s="4" t="str">
        <f t="shared" ref="M3:M6" si="4">_xlfn.IFS(G3=5,"Excellent",G3=4,"Good",G3=3,"Average",G3&gt;=2,"Need Imrovement")</f>
        <v>Good</v>
      </c>
      <c r="N3" s="4"/>
      <c r="O3" s="4"/>
      <c r="P3" s="4"/>
      <c r="Q3" s="4"/>
      <c r="R3" s="4"/>
      <c r="S3" s="4"/>
      <c r="T3" s="4">
        <f t="shared" ref="T3:T6" ca="1" si="5">DATEDIF(F3,TODAY(),"d")</f>
        <v>2079</v>
      </c>
      <c r="U3" s="4">
        <f t="shared" ref="U3:U6" si="6">YEAR(F3)</f>
        <v>2020</v>
      </c>
      <c r="V3" s="7" t="str">
        <f t="shared" ref="V3:V6" si="7">TEXT(F3,"MMM-YYYY")</f>
        <v>Jul-2020</v>
      </c>
      <c r="W3" s="7">
        <f t="shared" ref="W3:W6" si="8">RANK(E3,E3:E7,0)</f>
        <v>2</v>
      </c>
      <c r="X3" s="4">
        <f t="shared" ref="X3:X6" si="9">ROUND(H3,-3)</f>
        <v>8000</v>
      </c>
    </row>
    <row r="4" spans="1:24" x14ac:dyDescent="0.4">
      <c r="A4" s="4">
        <v>103</v>
      </c>
      <c r="B4" s="4" t="s">
        <v>27</v>
      </c>
      <c r="C4" s="4" t="s">
        <v>28</v>
      </c>
      <c r="D4" s="4" t="s">
        <v>21</v>
      </c>
      <c r="E4" s="4">
        <v>58000</v>
      </c>
      <c r="F4" s="4" t="s">
        <v>29</v>
      </c>
      <c r="G4" s="4">
        <v>2</v>
      </c>
      <c r="H4" s="4">
        <v>4499</v>
      </c>
      <c r="I4" s="4" t="str">
        <f t="shared" si="0"/>
        <v>Ja</v>
      </c>
      <c r="J4" s="4" t="str">
        <f t="shared" si="1"/>
        <v>son</v>
      </c>
      <c r="K4" s="4" t="str">
        <f t="shared" si="2"/>
        <v>Jake Johnson</v>
      </c>
      <c r="L4" s="4" t="str">
        <f t="shared" si="3"/>
        <v>Normal</v>
      </c>
      <c r="M4" s="4" t="str">
        <f t="shared" si="4"/>
        <v>Need Imrovement</v>
      </c>
      <c r="N4" s="4"/>
      <c r="O4" s="4"/>
      <c r="P4" s="4"/>
      <c r="Q4" s="4"/>
      <c r="R4" s="4"/>
      <c r="S4" s="4"/>
      <c r="T4" s="4">
        <f t="shared" ca="1" si="5"/>
        <v>2697</v>
      </c>
      <c r="U4" s="4">
        <f t="shared" si="6"/>
        <v>2018</v>
      </c>
      <c r="V4" s="7" t="str">
        <f t="shared" si="7"/>
        <v>Oct-2018</v>
      </c>
      <c r="W4" s="7">
        <f t="shared" si="8"/>
        <v>4</v>
      </c>
      <c r="X4" s="4">
        <f t="shared" si="9"/>
        <v>4000</v>
      </c>
    </row>
    <row r="5" spans="1:24" x14ac:dyDescent="0.4">
      <c r="A5" s="4">
        <v>104</v>
      </c>
      <c r="B5" s="4" t="s">
        <v>30</v>
      </c>
      <c r="C5" s="4" t="s">
        <v>31</v>
      </c>
      <c r="D5" s="4" t="s">
        <v>32</v>
      </c>
      <c r="E5" s="4">
        <v>60000</v>
      </c>
      <c r="F5" s="4" t="s">
        <v>33</v>
      </c>
      <c r="G5" s="4">
        <v>5</v>
      </c>
      <c r="H5" s="4">
        <v>8000</v>
      </c>
      <c r="I5" s="4" t="str">
        <f t="shared" si="0"/>
        <v>Ju</v>
      </c>
      <c r="J5" s="4" t="str">
        <f t="shared" si="1"/>
        <v>own</v>
      </c>
      <c r="K5" s="4" t="str">
        <f t="shared" si="2"/>
        <v>Julia Brown</v>
      </c>
      <c r="L5" s="4" t="str">
        <f t="shared" si="3"/>
        <v>Normal</v>
      </c>
      <c r="M5" s="4" t="str">
        <f t="shared" si="4"/>
        <v>Excellent</v>
      </c>
      <c r="N5" s="4"/>
      <c r="O5" s="4"/>
      <c r="P5" s="4"/>
      <c r="Q5" s="4"/>
      <c r="R5" s="4"/>
      <c r="S5" s="4"/>
      <c r="T5" s="4">
        <f t="shared" ca="1" si="5"/>
        <v>1886</v>
      </c>
      <c r="U5" s="4">
        <f t="shared" si="6"/>
        <v>2021</v>
      </c>
      <c r="V5" s="7" t="str">
        <f t="shared" si="7"/>
        <v>Jan-2021</v>
      </c>
      <c r="W5" s="7">
        <f t="shared" si="8"/>
        <v>3</v>
      </c>
      <c r="X5" s="4">
        <f t="shared" si="9"/>
        <v>8000</v>
      </c>
    </row>
    <row r="6" spans="1:24" x14ac:dyDescent="0.4">
      <c r="A6" s="4">
        <v>105</v>
      </c>
      <c r="B6" s="4" t="s">
        <v>34</v>
      </c>
      <c r="C6" s="4" t="s">
        <v>35</v>
      </c>
      <c r="D6" s="4" t="s">
        <v>36</v>
      </c>
      <c r="E6" s="4">
        <v>72000</v>
      </c>
      <c r="F6" s="4" t="s">
        <v>37</v>
      </c>
      <c r="G6" s="4">
        <v>2</v>
      </c>
      <c r="H6" s="4">
        <v>6000</v>
      </c>
      <c r="I6" s="4" t="str">
        <f t="shared" si="0"/>
        <v>Ja</v>
      </c>
      <c r="J6" s="4" t="str">
        <f t="shared" si="1"/>
        <v>vis</v>
      </c>
      <c r="K6" s="4" t="str">
        <f t="shared" si="2"/>
        <v>James Davis</v>
      </c>
      <c r="L6" s="4" t="str">
        <f t="shared" si="3"/>
        <v>High</v>
      </c>
      <c r="M6" s="4" t="str">
        <f t="shared" si="4"/>
        <v>Need Imrovement</v>
      </c>
      <c r="N6" s="4"/>
      <c r="O6" s="4"/>
      <c r="P6" s="4"/>
      <c r="Q6" s="4"/>
      <c r="R6" s="4"/>
      <c r="S6" s="4"/>
      <c r="T6" s="4">
        <f t="shared" ca="1" si="5"/>
        <v>3207</v>
      </c>
      <c r="U6" s="4">
        <f t="shared" si="6"/>
        <v>2017</v>
      </c>
      <c r="V6" s="7" t="str">
        <f t="shared" si="7"/>
        <v>May-2017</v>
      </c>
      <c r="W6" s="7">
        <f t="shared" si="8"/>
        <v>1</v>
      </c>
      <c r="X6" s="4">
        <f t="shared" si="9"/>
        <v>6000</v>
      </c>
    </row>
    <row r="8" spans="1:24" x14ac:dyDescent="0.4">
      <c r="E8" s="3">
        <f>AVERAGE(E2:E6)</f>
        <v>61400</v>
      </c>
      <c r="H8" s="3">
        <f>MAX(H2:H7)</f>
        <v>8000</v>
      </c>
    </row>
    <row r="9" spans="1:24" x14ac:dyDescent="0.4">
      <c r="E9">
        <f>MIN(E2:E6)</f>
        <v>55000</v>
      </c>
    </row>
  </sheetData>
  <conditionalFormatting sqref="E2:E6">
    <cfRule type="cellIs" dxfId="1" priority="3" operator="greaterThan">
      <formula>60000</formula>
    </cfRule>
  </conditionalFormatting>
  <conditionalFormatting sqref="G2:G6">
    <cfRule type="cellIs" dxfId="0" priority="1" operator="lessThan">
      <formula>3</formula>
    </cfRule>
  </conditionalFormatting>
  <conditionalFormatting sqref="H2:H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{A3EA8762-E762-430D-99D4-6ACB30175A29}</x14:id>
        </ext>
      </extLst>
    </cfRule>
  </conditionalFormatting>
  <dataValidations count="1">
    <dataValidation type="list" allowBlank="1" showInputMessage="1" showErrorMessage="1" sqref="R8 D2:D6" xr:uid="{C7C98861-2DF9-4EE0-A031-0566A096DE2C}">
      <formula1>$D$2:$D$6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A8762-E762-430D-99D4-6ACB30175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584D-B0C9-403B-B508-F942BA538BDB}">
  <dimension ref="A1:C6"/>
  <sheetViews>
    <sheetView workbookViewId="0">
      <selection activeCell="F11" sqref="F11"/>
    </sheetView>
  </sheetViews>
  <sheetFormatPr defaultRowHeight="14.6" x14ac:dyDescent="0.4"/>
  <cols>
    <col min="1" max="1" width="11.15234375" bestFit="1" customWidth="1"/>
  </cols>
  <sheetData>
    <row r="1" spans="1:3" x14ac:dyDescent="0.4">
      <c r="A1" s="1" t="s">
        <v>0</v>
      </c>
    </row>
    <row r="2" spans="1:3" x14ac:dyDescent="0.4">
      <c r="A2">
        <v>101</v>
      </c>
      <c r="B2">
        <f>VLOOKUP(A2,Sheet1!A1:H6,5)</f>
        <v>55000</v>
      </c>
      <c r="C2">
        <f>VLOOKUP(A2,Sheet1!A1:H6,5,FALSE)</f>
        <v>55000</v>
      </c>
    </row>
    <row r="3" spans="1:3" x14ac:dyDescent="0.4">
      <c r="A3">
        <v>102</v>
      </c>
      <c r="B3">
        <f>VLOOKUP(A3,Sheet1!A2:H7,5)</f>
        <v>62000</v>
      </c>
      <c r="C3">
        <f>VLOOKUP(A3,Sheet1!A2:H7,5,FALSE)</f>
        <v>62000</v>
      </c>
    </row>
    <row r="4" spans="1:3" x14ac:dyDescent="0.4">
      <c r="A4">
        <v>103</v>
      </c>
      <c r="B4">
        <f>VLOOKUP(A4,Sheet1!A3:H8,5)</f>
        <v>58000</v>
      </c>
      <c r="C4">
        <f>VLOOKUP(A4,Sheet1!A3:H8,5,FALSE)</f>
        <v>58000</v>
      </c>
    </row>
    <row r="5" spans="1:3" x14ac:dyDescent="0.4">
      <c r="A5">
        <v>104</v>
      </c>
      <c r="B5">
        <f>VLOOKUP(A5,Sheet1!A4:H9,5)</f>
        <v>60000</v>
      </c>
      <c r="C5">
        <f>VLOOKUP(A5,Sheet1!A4:H9,5,FALSE)</f>
        <v>60000</v>
      </c>
    </row>
    <row r="6" spans="1:3" x14ac:dyDescent="0.4">
      <c r="A6">
        <v>105</v>
      </c>
      <c r="B6">
        <f>VLOOKUP(A6,Sheet1!A5:H10,5)</f>
        <v>72000</v>
      </c>
      <c r="C6">
        <f>VLOOKUP(A6,Sheet1!A5:H10,5,FALSE)</f>
        <v>72000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75DB-0063-4508-9025-4B0AC3C35BF4}">
  <dimension ref="A1:B6"/>
  <sheetViews>
    <sheetView workbookViewId="0">
      <selection activeCell="C1" sqref="C1"/>
    </sheetView>
  </sheetViews>
  <sheetFormatPr defaultRowHeight="14.6" x14ac:dyDescent="0.4"/>
  <sheetData>
    <row r="1" spans="1:2" x14ac:dyDescent="0.4">
      <c r="A1" s="1" t="s">
        <v>1</v>
      </c>
    </row>
    <row r="2" spans="1:2" x14ac:dyDescent="0.4">
      <c r="A2" t="s">
        <v>19</v>
      </c>
      <c r="B2" t="str">
        <f>_xlfn.XLOOKUP(A2,Sheet1!B2:B6,Sheet1!D2:D6,"NA",0,1)</f>
        <v>Sales</v>
      </c>
    </row>
    <row r="3" spans="1:2" x14ac:dyDescent="0.4">
      <c r="A3" t="s">
        <v>23</v>
      </c>
      <c r="B3" t="str">
        <f>_xlfn.XLOOKUP(A3,Sheet1!B3:B7,Sheet1!D3:D7,"NA",0,1)</f>
        <v>Marketing</v>
      </c>
    </row>
    <row r="4" spans="1:2" x14ac:dyDescent="0.4">
      <c r="A4" t="s">
        <v>27</v>
      </c>
      <c r="B4" t="str">
        <f>_xlfn.XLOOKUP(A4,Sheet1!B4:B8,Sheet1!D4:D8,"NA",0,1)</f>
        <v>Sales</v>
      </c>
    </row>
    <row r="5" spans="1:2" x14ac:dyDescent="0.4">
      <c r="A5" t="s">
        <v>30</v>
      </c>
      <c r="B5" t="str">
        <f>_xlfn.XLOOKUP(A5,Sheet1!B5:B9,Sheet1!D5:D9,"NA",0,1)</f>
        <v>HR</v>
      </c>
    </row>
    <row r="6" spans="1:2" x14ac:dyDescent="0.4">
      <c r="A6" t="s">
        <v>34</v>
      </c>
      <c r="B6" t="str">
        <f>_xlfn.XLOOKUP(A6,Sheet1!B6:B10,Sheet1!D6:D10,"NA",0,1)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VLOOKUP</vt:lpstr>
      <vt:lpstr>XLOOKUP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Govinda Swamy Srinivasan</dc:creator>
  <cp:keywords/>
  <dc:description/>
  <cp:lastModifiedBy>Govinda Swamy Srinivasan</cp:lastModifiedBy>
  <cp:revision/>
  <dcterms:created xsi:type="dcterms:W3CDTF">2025-06-01T14:34:59Z</dcterms:created>
  <dcterms:modified xsi:type="dcterms:W3CDTF">2026-03-11T15:47:11Z</dcterms:modified>
  <cp:category/>
  <cp:contentStatus/>
</cp:coreProperties>
</file>