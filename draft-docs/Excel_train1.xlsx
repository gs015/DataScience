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vin\Desktop\ALL AI 2026\"/>
    </mc:Choice>
  </mc:AlternateContent>
  <xr:revisionPtr revIDLastSave="0" documentId="8_{F15EAB68-5885-4230-8DEE-204CFD8987D2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3" sheetId="3" r:id="rId1"/>
    <sheet name="Sheet1" sheetId="1" r:id="rId2"/>
    <sheet name="Sheet2" sheetId="2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T2" i="1"/>
  <c r="M2" i="1"/>
  <c r="P3" i="1"/>
  <c r="P4" i="1"/>
  <c r="P5" i="1"/>
  <c r="P6" i="1"/>
  <c r="P7" i="1"/>
  <c r="P8" i="1"/>
  <c r="P9" i="1"/>
  <c r="P10" i="1"/>
  <c r="P11" i="1"/>
  <c r="P2" i="1"/>
  <c r="Q2" i="1" a="1"/>
  <c r="Q2" i="1"/>
  <c r="G3" i="1"/>
  <c r="G4" i="1"/>
  <c r="G5" i="1"/>
  <c r="G6" i="1"/>
  <c r="G7" i="1"/>
  <c r="G8" i="1"/>
  <c r="G9" i="1"/>
  <c r="G10" i="1"/>
  <c r="G11" i="1"/>
  <c r="G2" i="1"/>
  <c r="N2" i="1"/>
  <c r="N11" i="1"/>
  <c r="N10" i="1"/>
  <c r="N9" i="1"/>
  <c r="N8" i="1"/>
  <c r="N7" i="1"/>
  <c r="N6" i="1"/>
  <c r="N5" i="1"/>
  <c r="N4" i="1"/>
  <c r="N3" i="1"/>
  <c r="M3" i="1"/>
  <c r="M4" i="1"/>
  <c r="M5" i="1"/>
  <c r="M6" i="1"/>
  <c r="M7" i="1"/>
  <c r="M8" i="1"/>
  <c r="M9" i="1"/>
  <c r="M10" i="1"/>
  <c r="M11" i="1"/>
  <c r="D2" i="1"/>
  <c r="D3" i="1"/>
  <c r="D4" i="1"/>
  <c r="D5" i="1"/>
  <c r="D6" i="1"/>
  <c r="D7" i="1"/>
  <c r="D8" i="1"/>
  <c r="D9" i="1"/>
  <c r="D10" i="1"/>
  <c r="D11" i="1"/>
  <c r="K12" i="1"/>
  <c r="K10" i="1"/>
  <c r="K6" i="1"/>
  <c r="K4" i="1"/>
  <c r="K2" i="1"/>
  <c r="K8" i="1" s="1"/>
  <c r="E3" i="1"/>
  <c r="E4" i="1"/>
  <c r="E5" i="1"/>
  <c r="E6" i="1"/>
  <c r="E7" i="1"/>
  <c r="E8" i="1"/>
  <c r="E9" i="1"/>
  <c r="E10" i="1"/>
  <c r="E11" i="1"/>
  <c r="E2" i="1"/>
  <c r="Q11" i="1"/>
  <c r="Q10" i="1"/>
  <c r="Q9" i="1"/>
  <c r="Q8" i="1"/>
  <c r="Q7" i="1"/>
  <c r="Q6" i="1"/>
  <c r="Q5" i="1"/>
  <c r="Q4" i="1"/>
  <c r="Q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<sst xmlns="http://schemas.openxmlformats.org/spreadsheetml/2006/main" count="108" uniqueCount="71">
  <si>
    <t>designation</t>
  </si>
  <si>
    <t>gender</t>
  </si>
  <si>
    <t>Count of gender</t>
  </si>
  <si>
    <t>Count of designation</t>
  </si>
  <si>
    <t>Sum of salary</t>
  </si>
  <si>
    <t>Sum of salary2</t>
  </si>
  <si>
    <t>Data Analyst</t>
  </si>
  <si>
    <t>Male</t>
  </si>
  <si>
    <t>Data Analyst Total</t>
  </si>
  <si>
    <t>HR</t>
  </si>
  <si>
    <t>Female</t>
  </si>
  <si>
    <t>HR Total</t>
  </si>
  <si>
    <t>Product Manager</t>
  </si>
  <si>
    <t>Product Manager Total</t>
  </si>
  <si>
    <t>Sales Manager</t>
  </si>
  <si>
    <t>Sales Manager Total</t>
  </si>
  <si>
    <t>Grand Total</t>
  </si>
  <si>
    <t>emp_id</t>
  </si>
  <si>
    <t>first_name</t>
  </si>
  <si>
    <t>last_name</t>
  </si>
  <si>
    <t>full_name</t>
  </si>
  <si>
    <t>email</t>
  </si>
  <si>
    <t>Gender Code</t>
  </si>
  <si>
    <t>age</t>
  </si>
  <si>
    <t>salary</t>
  </si>
  <si>
    <t>SUM</t>
  </si>
  <si>
    <t>full name</t>
  </si>
  <si>
    <t>f_name</t>
  </si>
  <si>
    <t>l_name</t>
  </si>
  <si>
    <t>Reserved</t>
  </si>
  <si>
    <t>Space Position</t>
  </si>
  <si>
    <t>len fullname</t>
  </si>
  <si>
    <t>fname</t>
  </si>
  <si>
    <t>SUMIF</t>
  </si>
  <si>
    <t>COUNTIF</t>
  </si>
  <si>
    <t>SUMIFS</t>
  </si>
  <si>
    <t>Manish</t>
  </si>
  <si>
    <t>Mohan</t>
  </si>
  <si>
    <t>Manish Mohan</t>
  </si>
  <si>
    <t>Shekhar</t>
  </si>
  <si>
    <t>Mishra</t>
  </si>
  <si>
    <t>AVERAGE</t>
  </si>
  <si>
    <t>Shekhar Mishra</t>
  </si>
  <si>
    <t>UnReserved</t>
  </si>
  <si>
    <t>Subhashree</t>
  </si>
  <si>
    <t>Pradhan</t>
  </si>
  <si>
    <t>Subhashree Pradhan</t>
  </si>
  <si>
    <t>Mohammed</t>
  </si>
  <si>
    <t>Abrar</t>
  </si>
  <si>
    <t>COUNT</t>
  </si>
  <si>
    <t>Mohammed Abrar</t>
  </si>
  <si>
    <t>Rajveer</t>
  </si>
  <si>
    <t>Singh</t>
  </si>
  <si>
    <t>Rajveer Singh</t>
  </si>
  <si>
    <t>Aniket</t>
  </si>
  <si>
    <t>Pandey</t>
  </si>
  <si>
    <t>Manual Average</t>
  </si>
  <si>
    <t>Aniket Pandey</t>
  </si>
  <si>
    <t>Shivangi</t>
  </si>
  <si>
    <t>Gurung</t>
  </si>
  <si>
    <t>Shivangi Gurung</t>
  </si>
  <si>
    <t>Shalini</t>
  </si>
  <si>
    <t>Sinha</t>
  </si>
  <si>
    <t>MAXIMUM</t>
  </si>
  <si>
    <t>Shalini Sinha</t>
  </si>
  <si>
    <t>Saurabh</t>
  </si>
  <si>
    <t>Kaushik</t>
  </si>
  <si>
    <t>Saurabh Kaushik</t>
  </si>
  <si>
    <t>Unnati</t>
  </si>
  <si>
    <t>MINIMUM</t>
  </si>
  <si>
    <t>Unnati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</si>
</sst>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3" fillId="0" borderId="0" xfId="1" applyNumberFormat="1" applyFont="1"/>
    <xf numFmtId="44" fontId="0" fillId="0" borderId="0" xfId="0" applyNumberFormat="1"/>
    <xf numFmtId="0" fontId="4" fillId="3" borderId="0" xfId="0" applyFont="1" applyFill="1"/>
    <xf numFmtId="44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0" fillId="0" borderId="0" xfId="0" pivotButton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2.920594212963" createdVersion="8" refreshedVersion="8" minRefreshableVersion="3" recordCount="10" xr:uid="{B8270848-75BF-4FB5-9D22-E1F1157B4007}">
  <cacheSource type="worksheet">
    <worksheetSource ref="A1:O11" sheet="Sheet1"/>
  </cacheSource>
  <cacheFields count="15">
    <cacheField name="emp_id" numFmtId="0">
      <sharedItems containsSemiMixedTypes="0" containsString="0" containsNumber="1" containsInteger="1" minValue="101" maxValue="110"/>
    </cacheField>
    <cacheField name="first_name" numFmtId="0">
      <sharedItems/>
    </cacheField>
    <cacheField name="last_name" numFmtId="0">
      <sharedItems/>
    </cacheField>
    <cacheField name="full_name" numFmtId="0">
      <sharedItems/>
    </cacheField>
    <cacheField name="email" numFmtId="0">
      <sharedItems/>
    </cacheField>
    <cacheField name="gender" numFmtId="0">
      <sharedItems count="2">
        <s v="Male"/>
        <s v="Female"/>
      </sharedItems>
    </cacheField>
    <cacheField name="Gender Code" numFmtId="0">
      <sharedItems/>
    </cacheField>
    <cacheField name="age" numFmtId="0">
      <sharedItems containsSemiMixedTypes="0" containsString="0" containsNumber="1" containsInteger="1" minValue="22" maxValue="43"/>
    </cacheField>
    <cacheField name="designation" numFmtId="0">
      <sharedItems count="4">
        <s v="Data Analyst"/>
        <s v="Product Manager"/>
        <s v="Sales Manager"/>
        <s v="HR"/>
      </sharedItems>
    </cacheField>
    <cacheField name="salary" numFmtId="44">
      <sharedItems containsSemiMixedTypes="0" containsString="0" containsNumber="1" containsInteger="1" minValue="40000" maxValue="90000"/>
    </cacheField>
    <cacheField name="SUM" numFmtId="0">
      <sharedItems containsMixedTypes="1" containsNumber="1" containsInteger="1" minValue="10" maxValue="587000"/>
    </cacheField>
    <cacheField name="full name" numFmtId="0">
      <sharedItems count="10">
        <s v="Manish Mohan"/>
        <s v="Shekhar Mishra"/>
        <s v="Subhashree Pradhan"/>
        <s v="Mohammed Abrar"/>
        <s v="Rajveer Singh"/>
        <s v="Aniket Pandey"/>
        <s v="Shivangi Gurung"/>
        <s v="Shalini Sinha"/>
        <s v="Saurabh Kaushik"/>
        <s v="Unnati Mishra"/>
      </sharedItems>
    </cacheField>
    <cacheField name="f_name" numFmtId="0">
      <sharedItems/>
    </cacheField>
    <cacheField name="l_name" numFmtId="0">
      <sharedItems/>
    </cacheField>
    <cacheField name="Reserved" numFmtId="0">
      <sharedItems count="2">
        <s v="Reserved"/>
        <s v="UnReserv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Manish"/>
    <s v="Mohan"/>
    <s v="Manish Mohan"/>
    <s v="Manish101@intellipaat.com"/>
    <x v="0"/>
    <s v="M"/>
    <n v="34"/>
    <x v="0"/>
    <n v="40000"/>
    <n v="587000"/>
    <x v="0"/>
    <s v="Manish"/>
    <s v="Mohan"/>
    <x v="0"/>
  </r>
  <r>
    <n v="102"/>
    <s v="Shekhar"/>
    <s v="Mishra"/>
    <s v="Shekhar Mishra"/>
    <s v="Shekhar102@intellipaat.com"/>
    <x v="0"/>
    <s v="M"/>
    <n v="22"/>
    <x v="1"/>
    <n v="50000"/>
    <s v="AVERAGE"/>
    <x v="1"/>
    <s v="Shekhar"/>
    <s v="Mishra"/>
    <x v="1"/>
  </r>
  <r>
    <n v="103"/>
    <s v="Subhashree"/>
    <s v="Pradhan"/>
    <s v="Subhashree Pradhan"/>
    <s v="Subhashree103@intellipaat.com"/>
    <x v="1"/>
    <s v="F"/>
    <n v="38"/>
    <x v="2"/>
    <n v="90000"/>
    <n v="58700"/>
    <x v="2"/>
    <s v="Subhashree"/>
    <s v="Pradhan"/>
    <x v="0"/>
  </r>
  <r>
    <n v="104"/>
    <s v="Mohammed"/>
    <s v="Abrar"/>
    <s v="Mohammed Abrar"/>
    <s v="Mohammed104@intellipaat.com"/>
    <x v="0"/>
    <s v="M"/>
    <n v="43"/>
    <x v="3"/>
    <n v="50000"/>
    <s v="COUNT"/>
    <x v="3"/>
    <s v="Mohammed"/>
    <s v="Abrar"/>
    <x v="0"/>
  </r>
  <r>
    <n v="105"/>
    <s v="Rajveer"/>
    <s v="Singh"/>
    <s v="Rajveer Singh"/>
    <s v="Rajveer105@intellipaat.com"/>
    <x v="0"/>
    <s v="M"/>
    <n v="27"/>
    <x v="0"/>
    <n v="84000"/>
    <n v="10"/>
    <x v="4"/>
    <s v="Rajveer"/>
    <s v="Singh"/>
    <x v="1"/>
  </r>
  <r>
    <n v="106"/>
    <s v="Aniket"/>
    <s v="Pandey"/>
    <s v="Aniket Pandey"/>
    <s v="Aniket106@intellipaat.com"/>
    <x v="0"/>
    <s v="M"/>
    <n v="28"/>
    <x v="0"/>
    <n v="49000"/>
    <s v="Manual Average"/>
    <x v="5"/>
    <s v="Aniket"/>
    <s v="Pandey"/>
    <x v="1"/>
  </r>
  <r>
    <n v="107"/>
    <s v="Shivangi"/>
    <s v="Gurung"/>
    <s v="Shivangi Gurung"/>
    <s v="Shivangi107@intellipaat.com"/>
    <x v="1"/>
    <s v="F"/>
    <n v="25"/>
    <x v="1"/>
    <n v="50000"/>
    <n v="58700"/>
    <x v="6"/>
    <s v="Shivangi"/>
    <s v="Gurung"/>
    <x v="0"/>
  </r>
  <r>
    <n v="108"/>
    <s v="Shalini"/>
    <s v="Sinha"/>
    <s v="Shalini Sinha"/>
    <s v="Shalini108@intellipaat.com"/>
    <x v="1"/>
    <s v="F"/>
    <n v="28"/>
    <x v="3"/>
    <n v="55000"/>
    <s v="MAXIMUM"/>
    <x v="7"/>
    <s v="Shalini"/>
    <s v="Sinha"/>
    <x v="0"/>
  </r>
  <r>
    <n v="109"/>
    <s v="Saurabh"/>
    <s v="Kaushik"/>
    <s v="Saurabh Kaushik"/>
    <s v="Saurabh109@intellipaat.com"/>
    <x v="0"/>
    <s v="M"/>
    <n v="27"/>
    <x v="1"/>
    <n v="60000"/>
    <n v="90000"/>
    <x v="8"/>
    <s v="Saurabh"/>
    <s v="Kaushik"/>
    <x v="0"/>
  </r>
  <r>
    <n v="110"/>
    <s v="Unnati"/>
    <s v="Mishra"/>
    <s v="Unnati Mishra"/>
    <s v="Unnati110@intellipaat.com"/>
    <x v="1"/>
    <s v="F"/>
    <n v="39"/>
    <x v="1"/>
    <n v="59000"/>
    <s v="MINIMUM"/>
    <x v="9"/>
    <s v="Unnati"/>
    <s v="Mishr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B8BA8-5FCB-4753-BCE7-45E95E9D19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2:F17" firstHeaderRow="0" firstDataRow="1" firstDataCol="2"/>
  <pivotFields count="15">
    <pivotField compact="0" subtotalTop="0" showAll="0"/>
    <pivotField compact="0" subtotalTop="0" showAll="0"/>
    <pivotField compact="0" subtotalTop="0" showAll="0"/>
    <pivotField compact="0" subtotalTop="0" showAll="0"/>
    <pivotField compact="0" subtotalTop="0" showAll="0"/>
    <pivotField axis="axisRow" dataField="1" compact="0" subtotalTop="0" showAll="0">
      <items count="3">
        <item x="1"/>
        <item x="0"/>
        <item t="default"/>
      </items>
    </pivotField>
    <pivotField compact="0" subtotalTop="0" showAll="0"/>
    <pivotField compact="0" subtotalTop="0" showAll="0"/>
    <pivotField axis="axisRow" dataField="1" compact="0" subtotalTop="0" showAll="0">
      <items count="5">
        <item x="0"/>
        <item x="3"/>
        <item x="1"/>
        <item x="2"/>
        <item t="default"/>
      </items>
    </pivotField>
    <pivotField dataField="1" compact="0" numFmtId="44" subtotalTop="0" showAll="0"/>
    <pivotField compact="0" subtotalTop="0" showAll="0"/>
    <pivotField compact="0" subtotalTop="0" showAll="0">
      <items count="11">
        <item x="5"/>
        <item x="0"/>
        <item x="3"/>
        <item x="4"/>
        <item x="8"/>
        <item x="7"/>
        <item x="1"/>
        <item x="6"/>
        <item x="2"/>
        <item x="9"/>
        <item t="default"/>
      </items>
    </pivotField>
    <pivotField compact="0" subtotalTop="0" showAll="0"/>
    <pivotField compact="0" subtotalTop="0" showAll="0"/>
    <pivotField compact="0" subtotalTop="0" showAll="0">
      <items count="3">
        <item x="0"/>
        <item x="1"/>
        <item t="default"/>
      </items>
    </pivotField>
  </pivotFields>
  <rowFields count="2">
    <field x="8"/>
    <field x="5"/>
  </rowFields>
  <rowItems count="15">
    <i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t="default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gender" fld="5" subtotal="count" baseField="0" baseItem="0"/>
    <dataField name="Count of designation" fld="8" subtotal="count" showDataAs="percentOfTotal" baseField="0" baseItem="0" numFmtId="10"/>
    <dataField name="Sum of salary" fld="9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salary2" fld="9" baseField="0" baseItem="0" numFmtId="44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4E6D-A028-43A9-A1FA-2695D31BE95F}">
  <dimension ref="A2:F17"/>
  <sheetViews>
    <sheetView tabSelected="1" workbookViewId="0">
      <selection activeCell="J11" sqref="J11"/>
    </sheetView>
  </sheetViews>
  <sheetFormatPr defaultRowHeight="14.6" x14ac:dyDescent="0.4"/>
  <cols>
    <col min="1" max="1" width="20.69140625" bestFit="1" customWidth="1"/>
    <col min="2" max="2" width="10.15234375" bestFit="1" customWidth="1"/>
    <col min="3" max="3" width="14.84375" bestFit="1" customWidth="1"/>
    <col min="4" max="4" width="19.15234375" bestFit="1" customWidth="1"/>
    <col min="5" max="5" width="12.69140625" bestFit="1" customWidth="1"/>
    <col min="6" max="6" width="13.84375" bestFit="1" customWidth="1"/>
  </cols>
  <sheetData>
    <row r="2" spans="1:6" x14ac:dyDescent="0.4">
      <c r="A2" s="10" t="s">
        <v>0</v>
      </c>
      <c r="B2" s="10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6</v>
      </c>
      <c r="D3" s="11"/>
      <c r="E3" s="11"/>
      <c r="F3" s="3"/>
    </row>
    <row r="4" spans="1:6" x14ac:dyDescent="0.4">
      <c r="B4" t="s">
        <v>7</v>
      </c>
      <c r="C4">
        <v>3</v>
      </c>
      <c r="D4" s="11">
        <v>0.3</v>
      </c>
      <c r="E4" s="11">
        <v>1</v>
      </c>
      <c r="F4" s="3">
        <v>173000</v>
      </c>
    </row>
    <row r="5" spans="1:6" x14ac:dyDescent="0.4">
      <c r="A5" t="s">
        <v>8</v>
      </c>
      <c r="C5">
        <v>3</v>
      </c>
      <c r="D5" s="11">
        <v>0.3</v>
      </c>
      <c r="E5" s="11">
        <v>0.29471890971039183</v>
      </c>
      <c r="F5" s="3">
        <v>173000</v>
      </c>
    </row>
    <row r="6" spans="1:6" x14ac:dyDescent="0.4">
      <c r="A6" t="s">
        <v>9</v>
      </c>
      <c r="D6" s="11"/>
      <c r="E6" s="11"/>
      <c r="F6" s="3"/>
    </row>
    <row r="7" spans="1:6" x14ac:dyDescent="0.4">
      <c r="B7" t="s">
        <v>10</v>
      </c>
      <c r="C7">
        <v>1</v>
      </c>
      <c r="D7" s="11">
        <v>0.1</v>
      </c>
      <c r="E7" s="11">
        <v>0.52380952380952384</v>
      </c>
      <c r="F7" s="3">
        <v>55000</v>
      </c>
    </row>
    <row r="8" spans="1:6" x14ac:dyDescent="0.4">
      <c r="B8" t="s">
        <v>7</v>
      </c>
      <c r="C8">
        <v>1</v>
      </c>
      <c r="D8" s="11">
        <v>0.1</v>
      </c>
      <c r="E8" s="11">
        <v>0.47619047619047616</v>
      </c>
      <c r="F8" s="3">
        <v>50000</v>
      </c>
    </row>
    <row r="9" spans="1:6" x14ac:dyDescent="0.4">
      <c r="A9" t="s">
        <v>11</v>
      </c>
      <c r="C9">
        <v>2</v>
      </c>
      <c r="D9" s="11">
        <v>0.2</v>
      </c>
      <c r="E9" s="11">
        <v>0.17887563884156729</v>
      </c>
      <c r="F9" s="3">
        <v>105000</v>
      </c>
    </row>
    <row r="10" spans="1:6" x14ac:dyDescent="0.4">
      <c r="A10" t="s">
        <v>12</v>
      </c>
      <c r="D10" s="11"/>
      <c r="E10" s="11"/>
      <c r="F10" s="3"/>
    </row>
    <row r="11" spans="1:6" x14ac:dyDescent="0.4">
      <c r="B11" t="s">
        <v>10</v>
      </c>
      <c r="C11">
        <v>2</v>
      </c>
      <c r="D11" s="11">
        <v>0.2</v>
      </c>
      <c r="E11" s="11">
        <v>0.49771689497716892</v>
      </c>
      <c r="F11" s="3">
        <v>109000</v>
      </c>
    </row>
    <row r="12" spans="1:6" x14ac:dyDescent="0.4">
      <c r="B12" t="s">
        <v>7</v>
      </c>
      <c r="C12">
        <v>2</v>
      </c>
      <c r="D12" s="11">
        <v>0.2</v>
      </c>
      <c r="E12" s="11">
        <v>0.50228310502283102</v>
      </c>
      <c r="F12" s="3">
        <v>110000</v>
      </c>
    </row>
    <row r="13" spans="1:6" x14ac:dyDescent="0.4">
      <c r="A13" t="s">
        <v>13</v>
      </c>
      <c r="C13">
        <v>4</v>
      </c>
      <c r="D13" s="11">
        <v>0.4</v>
      </c>
      <c r="E13" s="11">
        <v>0.37308347529812608</v>
      </c>
      <c r="F13" s="3">
        <v>219000</v>
      </c>
    </row>
    <row r="14" spans="1:6" x14ac:dyDescent="0.4">
      <c r="A14" t="s">
        <v>14</v>
      </c>
      <c r="D14" s="11"/>
      <c r="E14" s="11"/>
      <c r="F14" s="3"/>
    </row>
    <row r="15" spans="1:6" x14ac:dyDescent="0.4">
      <c r="B15" t="s">
        <v>10</v>
      </c>
      <c r="C15">
        <v>1</v>
      </c>
      <c r="D15" s="11">
        <v>0.1</v>
      </c>
      <c r="E15" s="11">
        <v>1</v>
      </c>
      <c r="F15" s="3">
        <v>90000</v>
      </c>
    </row>
    <row r="16" spans="1:6" x14ac:dyDescent="0.4">
      <c r="A16" t="s">
        <v>15</v>
      </c>
      <c r="C16">
        <v>1</v>
      </c>
      <c r="D16" s="11">
        <v>0.1</v>
      </c>
      <c r="E16" s="11">
        <v>0.15332197614991483</v>
      </c>
      <c r="F16" s="3">
        <v>90000</v>
      </c>
    </row>
    <row r="17" spans="1:6" x14ac:dyDescent="0.4">
      <c r="A17" t="s">
        <v>16</v>
      </c>
      <c r="C17">
        <v>10</v>
      </c>
      <c r="D17" s="11">
        <v>1</v>
      </c>
      <c r="E17" s="11">
        <v>1</v>
      </c>
      <c r="F17" s="3">
        <v>587000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A9" workbookViewId="0">
      <selection sqref="A1:O11"/>
    </sheetView>
  </sheetViews>
  <sheetFormatPr defaultRowHeight="14.6" x14ac:dyDescent="0.4"/>
  <cols>
    <col min="1" max="1" width="10.53515625" customWidth="1"/>
    <col min="2" max="4" width="20.3046875" customWidth="1"/>
    <col min="5" max="5" width="38.84375" customWidth="1"/>
    <col min="6" max="8" width="8.3828125" customWidth="1"/>
    <col min="9" max="9" width="20.3046875" customWidth="1"/>
    <col min="10" max="10" width="13.53515625" customWidth="1"/>
    <col min="11" max="11" width="24.3046875" customWidth="1"/>
    <col min="12" max="12" width="19.15234375" customWidth="1"/>
    <col min="13" max="13" width="21" bestFit="1" customWidth="1"/>
    <col min="14" max="14" width="16.84375" bestFit="1" customWidth="1"/>
    <col min="15" max="15" width="16.84375" customWidth="1"/>
    <col min="16" max="16" width="13.53515625" bestFit="1" customWidth="1"/>
    <col min="17" max="17" width="11.3828125" bestFit="1" customWidth="1"/>
  </cols>
  <sheetData>
    <row r="1" spans="1:22" ht="29.6" x14ac:dyDescent="0.4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8" t="s">
        <v>22</v>
      </c>
      <c r="H1" s="1" t="s">
        <v>23</v>
      </c>
      <c r="I1" s="1" t="s">
        <v>0</v>
      </c>
      <c r="J1" s="1" t="s">
        <v>24</v>
      </c>
      <c r="K1" s="4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t="s">
        <v>30</v>
      </c>
      <c r="Q1" t="s">
        <v>31</v>
      </c>
      <c r="R1" t="s">
        <v>32</v>
      </c>
      <c r="S1" t="s">
        <v>28</v>
      </c>
      <c r="T1" t="s">
        <v>33</v>
      </c>
      <c r="U1" t="s">
        <v>34</v>
      </c>
      <c r="V1" t="s">
        <v>35</v>
      </c>
    </row>
    <row r="2" spans="1:22" ht="15.9" x14ac:dyDescent="0.45">
      <c r="A2">
        <v>101</v>
      </c>
      <c r="B2" t="s">
        <v>36</v>
      </c>
      <c r="C2" t="s">
        <v>37</v>
      </c>
      <c r="D2" t="str">
        <f>CONCATENATE(B2," ",C2)</f>
        <v>Manish Mohan</v>
      </c>
      <c r="E2" s="2" t="str">
        <f>CONCATENATE(B2,A2,"@intellipaat.com")</f>
        <v>Manish101@intellipaat.com</v>
      </c>
      <c r="F2" t="s">
        <v>7</v>
      </c>
      <c r="G2" t="str">
        <f>LEFT(F2,1)</f>
        <v>M</v>
      </c>
      <c r="H2">
        <v>34</v>
      </c>
      <c r="I2" t="s">
        <v>6</v>
      </c>
      <c r="J2" s="3">
        <v>40000</v>
      </c>
      <c r="K2" s="5">
        <f>SUM(J2:J11)</f>
        <v>587000</v>
      </c>
      <c r="L2" t="s">
        <v>38</v>
      </c>
      <c r="M2" t="str">
        <f>LEFT(L2,FIND(" ",L2)-1)</f>
        <v>Manish</v>
      </c>
      <c r="N2" t="str">
        <f t="shared" ref="N2:N11" si="0">RIGHT(L2,LEN(L2)-FIND(" ",L2))</f>
        <v>Mohan</v>
      </c>
      <c r="O2" t="s">
        <v>29</v>
      </c>
      <c r="P2">
        <f>FIND(" ",L2)</f>
        <v>7</v>
      </c>
      <c r="Q2" cm="1">
        <f t="array" ref="Q2:Q11">LEN(L2:L11)</f>
        <v>12</v>
      </c>
      <c r="T2">
        <f>SUMIF(F2:F11, "=Female", J2:J11)</f>
        <v>254000</v>
      </c>
      <c r="V2">
        <f>SUMIFS(J2:J11, I2:I11,"=HR", H2:H11, "&lt;30")</f>
        <v>55000</v>
      </c>
    </row>
    <row r="3" spans="1:22" ht="15.9" x14ac:dyDescent="0.45">
      <c r="A3">
        <v>102</v>
      </c>
      <c r="B3" t="s">
        <v>39</v>
      </c>
      <c r="C3" t="s">
        <v>40</v>
      </c>
      <c r="D3" t="str">
        <f t="shared" ref="D3:D11" si="1">CONCATENATE(B3," ",C3)</f>
        <v>Shekhar Mishra</v>
      </c>
      <c r="E3" s="2" t="str">
        <f t="shared" ref="E3:E11" si="2">CONCATENATE(B3,A3,"@intellipaat.com")</f>
        <v>Shekhar102@intellipaat.com</v>
      </c>
      <c r="F3" t="s">
        <v>7</v>
      </c>
      <c r="G3" t="str">
        <f t="shared" ref="G3:G11" si="3">LEFT(F3,1)</f>
        <v>M</v>
      </c>
      <c r="H3">
        <v>22</v>
      </c>
      <c r="I3" t="s">
        <v>12</v>
      </c>
      <c r="J3" s="3">
        <v>50000</v>
      </c>
      <c r="K3" s="4" t="s">
        <v>41</v>
      </c>
      <c r="L3" t="s">
        <v>42</v>
      </c>
      <c r="M3" t="str">
        <f t="shared" ref="M3:M11" si="4">LEFT(L3,FIND(" ",L3)-1)</f>
        <v>Shekhar</v>
      </c>
      <c r="N3" t="str">
        <f t="shared" si="0"/>
        <v>Mishra</v>
      </c>
      <c r="O3" t="s">
        <v>43</v>
      </c>
      <c r="P3">
        <f t="shared" ref="P3:P11" si="5">FIND(" ",L3)</f>
        <v>8</v>
      </c>
      <c r="Q3">
        <v>14</v>
      </c>
    </row>
    <row r="4" spans="1:22" ht="15.9" x14ac:dyDescent="0.45">
      <c r="A4">
        <v>103</v>
      </c>
      <c r="B4" t="s">
        <v>44</v>
      </c>
      <c r="C4" t="s">
        <v>45</v>
      </c>
      <c r="D4" t="str">
        <f t="shared" si="1"/>
        <v>Subhashree Pradhan</v>
      </c>
      <c r="E4" s="2" t="str">
        <f t="shared" si="2"/>
        <v>Subhashree103@intellipaat.com</v>
      </c>
      <c r="F4" t="s">
        <v>10</v>
      </c>
      <c r="G4" t="str">
        <f t="shared" si="3"/>
        <v>F</v>
      </c>
      <c r="H4">
        <v>38</v>
      </c>
      <c r="I4" t="s">
        <v>14</v>
      </c>
      <c r="J4" s="3">
        <v>90000</v>
      </c>
      <c r="K4" s="5">
        <f>AVERAGE(J2:J11)</f>
        <v>58700</v>
      </c>
      <c r="L4" t="s">
        <v>46</v>
      </c>
      <c r="M4" t="str">
        <f t="shared" si="4"/>
        <v>Subhashree</v>
      </c>
      <c r="N4" t="str">
        <f t="shared" si="0"/>
        <v>Pradhan</v>
      </c>
      <c r="O4" t="s">
        <v>29</v>
      </c>
      <c r="P4">
        <f t="shared" si="5"/>
        <v>11</v>
      </c>
      <c r="Q4">
        <v>18</v>
      </c>
    </row>
    <row r="5" spans="1:22" ht="15.9" x14ac:dyDescent="0.45">
      <c r="A5">
        <v>104</v>
      </c>
      <c r="B5" t="s">
        <v>47</v>
      </c>
      <c r="C5" t="s">
        <v>48</v>
      </c>
      <c r="D5" t="str">
        <f t="shared" si="1"/>
        <v>Mohammed Abrar</v>
      </c>
      <c r="E5" s="2" t="str">
        <f t="shared" si="2"/>
        <v>Mohammed104@intellipaat.com</v>
      </c>
      <c r="F5" t="s">
        <v>7</v>
      </c>
      <c r="G5" t="str">
        <f t="shared" si="3"/>
        <v>M</v>
      </c>
      <c r="H5">
        <v>43</v>
      </c>
      <c r="I5" t="s">
        <v>9</v>
      </c>
      <c r="J5" s="3">
        <v>50000</v>
      </c>
      <c r="K5" s="4" t="s">
        <v>49</v>
      </c>
      <c r="L5" t="s">
        <v>50</v>
      </c>
      <c r="M5" t="str">
        <f t="shared" si="4"/>
        <v>Mohammed</v>
      </c>
      <c r="N5" t="str">
        <f t="shared" si="0"/>
        <v>Abrar</v>
      </c>
      <c r="O5" t="s">
        <v>29</v>
      </c>
      <c r="P5">
        <f t="shared" si="5"/>
        <v>9</v>
      </c>
      <c r="Q5">
        <v>14</v>
      </c>
    </row>
    <row r="6" spans="1:22" ht="15.9" x14ac:dyDescent="0.45">
      <c r="A6">
        <v>105</v>
      </c>
      <c r="B6" t="s">
        <v>51</v>
      </c>
      <c r="C6" t="s">
        <v>52</v>
      </c>
      <c r="D6" t="str">
        <f t="shared" si="1"/>
        <v>Rajveer Singh</v>
      </c>
      <c r="E6" s="2" t="str">
        <f t="shared" si="2"/>
        <v>Rajveer105@intellipaat.com</v>
      </c>
      <c r="F6" t="s">
        <v>7</v>
      </c>
      <c r="G6" t="str">
        <f t="shared" si="3"/>
        <v>M</v>
      </c>
      <c r="H6">
        <v>27</v>
      </c>
      <c r="I6" t="s">
        <v>6</v>
      </c>
      <c r="J6" s="3">
        <v>84000</v>
      </c>
      <c r="K6" s="6">
        <f>COUNT(J2:J11)</f>
        <v>10</v>
      </c>
      <c r="L6" t="s">
        <v>53</v>
      </c>
      <c r="M6" t="str">
        <f t="shared" si="4"/>
        <v>Rajveer</v>
      </c>
      <c r="N6" t="str">
        <f t="shared" si="0"/>
        <v>Singh</v>
      </c>
      <c r="O6" t="s">
        <v>43</v>
      </c>
      <c r="P6">
        <f t="shared" si="5"/>
        <v>8</v>
      </c>
      <c r="Q6">
        <v>13</v>
      </c>
    </row>
    <row r="7" spans="1:22" ht="15.9" x14ac:dyDescent="0.45">
      <c r="A7">
        <v>106</v>
      </c>
      <c r="B7" t="s">
        <v>54</v>
      </c>
      <c r="C7" t="s">
        <v>55</v>
      </c>
      <c r="D7" t="str">
        <f t="shared" si="1"/>
        <v>Aniket Pandey</v>
      </c>
      <c r="E7" s="2" t="str">
        <f t="shared" si="2"/>
        <v>Aniket106@intellipaat.com</v>
      </c>
      <c r="F7" t="s">
        <v>7</v>
      </c>
      <c r="G7" t="str">
        <f t="shared" si="3"/>
        <v>M</v>
      </c>
      <c r="H7">
        <v>28</v>
      </c>
      <c r="I7" t="s">
        <v>6</v>
      </c>
      <c r="J7" s="3">
        <v>49000</v>
      </c>
      <c r="K7" s="7" t="s">
        <v>56</v>
      </c>
      <c r="L7" t="s">
        <v>57</v>
      </c>
      <c r="M7" t="str">
        <f t="shared" si="4"/>
        <v>Aniket</v>
      </c>
      <c r="N7" t="str">
        <f t="shared" si="0"/>
        <v>Pandey</v>
      </c>
      <c r="O7" t="s">
        <v>43</v>
      </c>
      <c r="P7">
        <f t="shared" si="5"/>
        <v>7</v>
      </c>
      <c r="Q7">
        <v>13</v>
      </c>
    </row>
    <row r="8" spans="1:22" ht="15.9" x14ac:dyDescent="0.45">
      <c r="A8">
        <v>107</v>
      </c>
      <c r="B8" t="s">
        <v>58</v>
      </c>
      <c r="C8" t="s">
        <v>59</v>
      </c>
      <c r="D8" t="str">
        <f t="shared" si="1"/>
        <v>Shivangi Gurung</v>
      </c>
      <c r="E8" s="2" t="str">
        <f t="shared" si="2"/>
        <v>Shivangi107@intellipaat.com</v>
      </c>
      <c r="F8" t="s">
        <v>10</v>
      </c>
      <c r="G8" t="str">
        <f t="shared" si="3"/>
        <v>F</v>
      </c>
      <c r="H8">
        <v>25</v>
      </c>
      <c r="I8" t="s">
        <v>12</v>
      </c>
      <c r="J8" s="3">
        <v>50000</v>
      </c>
      <c r="K8" s="5">
        <f>K2/K6</f>
        <v>58700</v>
      </c>
      <c r="L8" t="s">
        <v>60</v>
      </c>
      <c r="M8" t="str">
        <f t="shared" si="4"/>
        <v>Shivangi</v>
      </c>
      <c r="N8" t="str">
        <f t="shared" si="0"/>
        <v>Gurung</v>
      </c>
      <c r="O8" t="s">
        <v>29</v>
      </c>
      <c r="P8">
        <f t="shared" si="5"/>
        <v>9</v>
      </c>
      <c r="Q8">
        <v>15</v>
      </c>
    </row>
    <row r="9" spans="1:22" ht="15.9" x14ac:dyDescent="0.45">
      <c r="A9">
        <v>108</v>
      </c>
      <c r="B9" t="s">
        <v>61</v>
      </c>
      <c r="C9" t="s">
        <v>62</v>
      </c>
      <c r="D9" t="str">
        <f t="shared" si="1"/>
        <v>Shalini Sinha</v>
      </c>
      <c r="E9" s="2" t="str">
        <f t="shared" si="2"/>
        <v>Shalini108@intellipaat.com</v>
      </c>
      <c r="F9" t="s">
        <v>10</v>
      </c>
      <c r="G9" t="str">
        <f t="shared" si="3"/>
        <v>F</v>
      </c>
      <c r="H9">
        <v>28</v>
      </c>
      <c r="I9" t="s">
        <v>9</v>
      </c>
      <c r="J9" s="3">
        <v>55000</v>
      </c>
      <c r="K9" s="4" t="s">
        <v>63</v>
      </c>
      <c r="L9" t="s">
        <v>64</v>
      </c>
      <c r="M9" t="str">
        <f t="shared" si="4"/>
        <v>Shalini</v>
      </c>
      <c r="N9" t="str">
        <f t="shared" si="0"/>
        <v>Sinha</v>
      </c>
      <c r="O9" t="s">
        <v>29</v>
      </c>
      <c r="P9">
        <f t="shared" si="5"/>
        <v>8</v>
      </c>
      <c r="Q9">
        <v>13</v>
      </c>
    </row>
    <row r="10" spans="1:22" ht="15.9" x14ac:dyDescent="0.45">
      <c r="A10">
        <v>109</v>
      </c>
      <c r="B10" t="s">
        <v>65</v>
      </c>
      <c r="C10" t="s">
        <v>66</v>
      </c>
      <c r="D10" t="str">
        <f t="shared" si="1"/>
        <v>Saurabh Kaushik</v>
      </c>
      <c r="E10" s="2" t="str">
        <f t="shared" si="2"/>
        <v>Saurabh109@intellipaat.com</v>
      </c>
      <c r="F10" t="s">
        <v>7</v>
      </c>
      <c r="G10" t="str">
        <f t="shared" si="3"/>
        <v>M</v>
      </c>
      <c r="H10">
        <v>27</v>
      </c>
      <c r="I10" t="s">
        <v>12</v>
      </c>
      <c r="J10" s="3">
        <v>60000</v>
      </c>
      <c r="K10" s="5">
        <f>MAX(J2:J11)</f>
        <v>90000</v>
      </c>
      <c r="L10" t="s">
        <v>67</v>
      </c>
      <c r="M10" t="str">
        <f t="shared" si="4"/>
        <v>Saurabh</v>
      </c>
      <c r="N10" t="str">
        <f t="shared" si="0"/>
        <v>Kaushik</v>
      </c>
      <c r="O10" t="s">
        <v>29</v>
      </c>
      <c r="P10">
        <f t="shared" si="5"/>
        <v>8</v>
      </c>
      <c r="Q10">
        <v>15</v>
      </c>
    </row>
    <row r="11" spans="1:22" ht="15.9" x14ac:dyDescent="0.45">
      <c r="A11">
        <v>110</v>
      </c>
      <c r="B11" t="s">
        <v>68</v>
      </c>
      <c r="C11" t="s">
        <v>40</v>
      </c>
      <c r="D11" t="str">
        <f t="shared" si="1"/>
        <v>Unnati Mishra</v>
      </c>
      <c r="E11" s="2" t="str">
        <f t="shared" si="2"/>
        <v>Unnati110@intellipaat.com</v>
      </c>
      <c r="F11" t="s">
        <v>10</v>
      </c>
      <c r="G11" t="str">
        <f t="shared" si="3"/>
        <v>F</v>
      </c>
      <c r="H11">
        <v>39</v>
      </c>
      <c r="I11" t="s">
        <v>12</v>
      </c>
      <c r="J11" s="3">
        <v>59000</v>
      </c>
      <c r="K11" s="4" t="s">
        <v>69</v>
      </c>
      <c r="L11" t="s">
        <v>70</v>
      </c>
      <c r="M11" t="str">
        <f t="shared" si="4"/>
        <v>Unnati</v>
      </c>
      <c r="N11" t="str">
        <f t="shared" si="0"/>
        <v>Mishra</v>
      </c>
      <c r="O11" t="s">
        <v>43</v>
      </c>
      <c r="P11">
        <f t="shared" si="5"/>
        <v>7</v>
      </c>
      <c r="Q11">
        <v>13</v>
      </c>
    </row>
    <row r="12" spans="1:22" ht="15.9" x14ac:dyDescent="0.45">
      <c r="K12" s="5">
        <f>MIN(J2:J11)</f>
        <v>40000</v>
      </c>
    </row>
    <row r="23" spans="14:14" x14ac:dyDescent="0.4">
      <c r="N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C39B-963F-4212-B921-D29CB7A53E4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Govinda Swamy Srinivasan</dc:creator>
  <cp:keywords/>
  <dc:description/>
  <cp:lastModifiedBy>Govinda Swamy Srinivasan</cp:lastModifiedBy>
  <cp:revision/>
  <dcterms:created xsi:type="dcterms:W3CDTF">2025-05-24T15:41:18Z</dcterms:created>
  <dcterms:modified xsi:type="dcterms:W3CDTF">2026-03-11T15:47:42Z</dcterms:modified>
  <cp:category/>
  <cp:contentStatus/>
</cp:coreProperties>
</file>